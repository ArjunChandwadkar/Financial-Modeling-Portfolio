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arj\Desktop\"/>
    </mc:Choice>
  </mc:AlternateContent>
  <xr:revisionPtr revIDLastSave="0" documentId="13_ncr:1_{E1BE09E9-97F3-4B88-8719-431BE04A6C47}" xr6:coauthVersionLast="47" xr6:coauthVersionMax="47" xr10:uidLastSave="{00000000-0000-0000-0000-000000000000}"/>
  <bookViews>
    <workbookView xWindow="-108" yWindow="-108" windowWidth="23256" windowHeight="13176" xr2:uid="{DC80D954-FE5B-486F-B4C0-8158D897E91C}"/>
  </bookViews>
  <sheets>
    <sheet name="LB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0" i="1" l="1"/>
  <c r="Q125" i="1"/>
  <c r="M117" i="1"/>
  <c r="M64" i="1" s="1"/>
  <c r="M116" i="1"/>
  <c r="L119" i="1"/>
  <c r="M111" i="1"/>
  <c r="L113" i="1"/>
  <c r="M110" i="1" s="1"/>
  <c r="M105" i="1"/>
  <c r="L107" i="1"/>
  <c r="M104" i="1"/>
  <c r="M98" i="1"/>
  <c r="M99" i="1" s="1"/>
  <c r="L101" i="1"/>
  <c r="Q89" i="1"/>
  <c r="P89" i="1"/>
  <c r="O89" i="1"/>
  <c r="N89" i="1"/>
  <c r="M89" i="1"/>
  <c r="L84" i="1"/>
  <c r="L80" i="1"/>
  <c r="L77" i="1"/>
  <c r="G37" i="1"/>
  <c r="G35" i="1"/>
  <c r="G33" i="1"/>
  <c r="G32" i="1"/>
  <c r="G31" i="1"/>
  <c r="G30" i="1"/>
  <c r="E35" i="1"/>
  <c r="P31" i="1"/>
  <c r="P30" i="1"/>
  <c r="O33" i="1"/>
  <c r="O31" i="1"/>
  <c r="O30" i="1"/>
  <c r="F33" i="1"/>
  <c r="F32" i="1"/>
  <c r="F31" i="1"/>
  <c r="F30" i="1"/>
  <c r="E33" i="1"/>
  <c r="K16" i="1"/>
  <c r="K18" i="1" s="1"/>
  <c r="L58" i="1"/>
  <c r="L52" i="1"/>
  <c r="L46" i="1"/>
  <c r="Q44" i="1"/>
  <c r="P44" i="1"/>
  <c r="O44" i="1"/>
  <c r="N44" i="1"/>
  <c r="M44" i="1"/>
  <c r="L43" i="1"/>
  <c r="P33" i="1" l="1"/>
  <c r="P37" i="1" s="1"/>
  <c r="O37" i="1"/>
  <c r="L49" i="1"/>
  <c r="L50" i="1" s="1"/>
  <c r="M43" i="1"/>
  <c r="M52" i="1" l="1"/>
  <c r="M80" i="1"/>
  <c r="M82" i="1" s="1"/>
  <c r="M91" i="1" s="1"/>
  <c r="M84" i="1"/>
  <c r="M90" i="1" s="1"/>
  <c r="Q31" i="1"/>
  <c r="Q30" i="1"/>
  <c r="Q33" i="1"/>
  <c r="L55" i="1"/>
  <c r="L61" i="1" s="1"/>
  <c r="M46" i="1"/>
  <c r="M49" i="1" s="1"/>
  <c r="M55" i="1" s="1"/>
  <c r="M66" i="1" s="1"/>
  <c r="N43" i="1"/>
  <c r="M58" i="1"/>
  <c r="M61" i="1"/>
  <c r="N61" i="1" l="1"/>
  <c r="N84" i="1"/>
  <c r="N90" i="1" s="1"/>
  <c r="N80" i="1"/>
  <c r="N82" i="1" s="1"/>
  <c r="N91" i="1" s="1"/>
  <c r="M67" i="1"/>
  <c r="M69" i="1"/>
  <c r="M72" i="1" s="1"/>
  <c r="Q37" i="1"/>
  <c r="M50" i="1"/>
  <c r="O43" i="1"/>
  <c r="N58" i="1"/>
  <c r="N46" i="1"/>
  <c r="N49" i="1" s="1"/>
  <c r="N52" i="1"/>
  <c r="M88" i="1" l="1"/>
  <c r="M92" i="1" s="1"/>
  <c r="M73" i="1"/>
  <c r="O61" i="1"/>
  <c r="O80" i="1"/>
  <c r="O82" i="1" s="1"/>
  <c r="O91" i="1" s="1"/>
  <c r="O84" i="1"/>
  <c r="O90" i="1" s="1"/>
  <c r="O58" i="1"/>
  <c r="O46" i="1"/>
  <c r="O49" i="1" s="1"/>
  <c r="P43" i="1"/>
  <c r="N55" i="1"/>
  <c r="O52" i="1"/>
  <c r="N50" i="1"/>
  <c r="P61" i="1" l="1"/>
  <c r="P80" i="1"/>
  <c r="P82" i="1" s="1"/>
  <c r="P91" i="1" s="1"/>
  <c r="P84" i="1"/>
  <c r="P90" i="1" s="1"/>
  <c r="M100" i="1"/>
  <c r="O55" i="1"/>
  <c r="P58" i="1"/>
  <c r="Q43" i="1"/>
  <c r="O50" i="1"/>
  <c r="P52" i="1"/>
  <c r="P46" i="1"/>
  <c r="P49" i="1" s="1"/>
  <c r="P55" i="1" s="1"/>
  <c r="M106" i="1" l="1"/>
  <c r="M107" i="1" s="1"/>
  <c r="N104" i="1" s="1"/>
  <c r="M101" i="1"/>
  <c r="Q58" i="1"/>
  <c r="Q80" i="1"/>
  <c r="Q82" i="1" s="1"/>
  <c r="Q91" i="1" s="1"/>
  <c r="Q84" i="1"/>
  <c r="Q90" i="1" s="1"/>
  <c r="Q52" i="1"/>
  <c r="P50" i="1"/>
  <c r="Q46" i="1"/>
  <c r="Q49" i="1" s="1"/>
  <c r="Q50" i="1" s="1"/>
  <c r="Q61" i="1"/>
  <c r="Q124" i="1" s="1"/>
  <c r="Q126" i="1" s="1"/>
  <c r="N105" i="1" l="1"/>
  <c r="N98" i="1"/>
  <c r="M112" i="1"/>
  <c r="M113" i="1" s="1"/>
  <c r="N110" i="1" s="1"/>
  <c r="N111" i="1" s="1"/>
  <c r="Q55" i="1"/>
  <c r="M119" i="1" l="1"/>
  <c r="N116" i="1"/>
  <c r="N99" i="1"/>
  <c r="N117" i="1" s="1"/>
  <c r="N64" i="1" s="1"/>
  <c r="N66" i="1" s="1"/>
  <c r="M118" i="1"/>
  <c r="N67" i="1" l="1"/>
  <c r="N69" i="1"/>
  <c r="N72" i="1" s="1"/>
  <c r="N88" i="1" l="1"/>
  <c r="N92" i="1" s="1"/>
  <c r="N73" i="1"/>
  <c r="N100" i="1" l="1"/>
  <c r="N106" i="1" s="1"/>
  <c r="N107" i="1" s="1"/>
  <c r="O104" i="1" s="1"/>
  <c r="O105" i="1" l="1"/>
  <c r="N101" i="1"/>
  <c r="O98" i="1" l="1"/>
  <c r="N112" i="1"/>
  <c r="N113" i="1" s="1"/>
  <c r="O110" i="1" s="1"/>
  <c r="O111" i="1" s="1"/>
  <c r="O99" i="1" l="1"/>
  <c r="O117" i="1" s="1"/>
  <c r="O64" i="1" s="1"/>
  <c r="O66" i="1" s="1"/>
  <c r="O116" i="1"/>
  <c r="N118" i="1"/>
  <c r="N119" i="1"/>
  <c r="O69" i="1" l="1"/>
  <c r="O72" i="1"/>
  <c r="O67" i="1"/>
  <c r="O73" i="1" l="1"/>
  <c r="O88" i="1"/>
  <c r="O92" i="1" s="1"/>
  <c r="O100" i="1" l="1"/>
  <c r="O106" i="1" s="1"/>
  <c r="O107" i="1" s="1"/>
  <c r="P104" i="1" s="1"/>
  <c r="P105" i="1" l="1"/>
  <c r="O112" i="1"/>
  <c r="O113" i="1" s="1"/>
  <c r="P110" i="1" s="1"/>
  <c r="P111" i="1" s="1"/>
  <c r="O101" i="1"/>
  <c r="O119" i="1" l="1"/>
  <c r="P98" i="1"/>
  <c r="O118" i="1"/>
  <c r="P99" i="1" l="1"/>
  <c r="P117" i="1" s="1"/>
  <c r="P64" i="1" s="1"/>
  <c r="P66" i="1" s="1"/>
  <c r="P116" i="1"/>
  <c r="P67" i="1" l="1"/>
  <c r="P69" i="1"/>
  <c r="P72" i="1" s="1"/>
  <c r="P88" i="1" l="1"/>
  <c r="P92" i="1" s="1"/>
  <c r="P73" i="1"/>
  <c r="P100" i="1" l="1"/>
  <c r="P106" i="1" s="1"/>
  <c r="P107" i="1" s="1"/>
  <c r="Q104" i="1" s="1"/>
  <c r="Q105" i="1" l="1"/>
  <c r="P112" i="1"/>
  <c r="P113" i="1" s="1"/>
  <c r="Q110" i="1" s="1"/>
  <c r="Q111" i="1" s="1"/>
  <c r="P101" i="1"/>
  <c r="P118" i="1" l="1"/>
  <c r="Q98" i="1"/>
  <c r="P119" i="1"/>
  <c r="Q99" i="1" l="1"/>
  <c r="Q117" i="1" s="1"/>
  <c r="Q64" i="1" s="1"/>
  <c r="Q66" i="1" s="1"/>
  <c r="Q116" i="1"/>
  <c r="Q69" i="1" l="1"/>
  <c r="Q72" i="1" s="1"/>
  <c r="Q67" i="1"/>
  <c r="Q73" i="1" l="1"/>
  <c r="Q88" i="1"/>
  <c r="Q92" i="1" s="1"/>
  <c r="Q100" i="1" l="1"/>
  <c r="Q106" i="1" s="1"/>
  <c r="Q107" i="1" s="1"/>
  <c r="Q112" i="1" l="1"/>
  <c r="Q113" i="1" s="1"/>
  <c r="Q101" i="1"/>
  <c r="Q118" i="1" l="1"/>
  <c r="Q119" i="1"/>
  <c r="Q127" i="1" s="1"/>
  <c r="Q128" i="1" s="1"/>
  <c r="Q132" i="1" s="1"/>
  <c r="Q19" i="1" l="1"/>
  <c r="Q133" i="1"/>
  <c r="Q20" i="1" s="1"/>
</calcChain>
</file>

<file path=xl/sharedStrings.xml><?xml version="1.0" encoding="utf-8"?>
<sst xmlns="http://schemas.openxmlformats.org/spreadsheetml/2006/main" count="154" uniqueCount="85">
  <si>
    <t>You are a private equity firm looking to potentially buyout an insurance company.</t>
  </si>
  <si>
    <t>In the last 12 months, the company has generate $2BN in sales, $900M in COGS, $500M in OpEx, $100M in D&amp;A, $200 in NWC, and $140M in CapEx.</t>
  </si>
  <si>
    <t>Fees and expenses are estimated to amount to $100M, and there will be 3 tranches of debt: $200M from a revolver (7.5% interest), $2.5BN from a bank loan (9.5%), and $1.5BN from senior notes (12.5%)</t>
  </si>
  <si>
    <t>Calculate the firm's IRR.</t>
  </si>
  <si>
    <t>LBO</t>
  </si>
  <si>
    <t>Assumptions</t>
  </si>
  <si>
    <t>Financials</t>
  </si>
  <si>
    <t>LTM</t>
  </si>
  <si>
    <t>Revenue</t>
  </si>
  <si>
    <t>COGS</t>
  </si>
  <si>
    <t>OpEx</t>
  </si>
  <si>
    <t>D&amp;A</t>
  </si>
  <si>
    <t>NWC</t>
  </si>
  <si>
    <t>Operating Assumptions</t>
  </si>
  <si>
    <t>Revenue Growth</t>
  </si>
  <si>
    <t>Tax Rate</t>
  </si>
  <si>
    <t>Entry</t>
  </si>
  <si>
    <t>LTM EBITDA</t>
  </si>
  <si>
    <t>Enterprise Value</t>
  </si>
  <si>
    <t>Existing Net Debt</t>
  </si>
  <si>
    <t>Equity Value</t>
  </si>
  <si>
    <t>Fees &amp; Expenses</t>
  </si>
  <si>
    <t>Exit</t>
  </si>
  <si>
    <t>Exit Multiple</t>
  </si>
  <si>
    <t>Your firm also believes it can enter and exit at a 10.0x EBITDA multiple at the end of year 5. The company has existing net debt of $1BN</t>
  </si>
  <si>
    <t>Revolver</t>
  </si>
  <si>
    <t>Bank Loan</t>
  </si>
  <si>
    <t>Senior Notes</t>
  </si>
  <si>
    <t>Amount</t>
  </si>
  <si>
    <t>Interest</t>
  </si>
  <si>
    <t>Operating Model</t>
  </si>
  <si>
    <t>Gross Profit</t>
  </si>
  <si>
    <t>EBIT</t>
  </si>
  <si>
    <t>EBITDA</t>
  </si>
  <si>
    <t>EBT</t>
  </si>
  <si>
    <t>For simplicity, your firm assumes it can grow the company revenue at 10% for the next 5 years, assumes a 21% tax rate, and assumes all growth rates and margins will remain flat.</t>
  </si>
  <si>
    <t>Uses</t>
  </si>
  <si>
    <t>Sources</t>
  </si>
  <si>
    <t>xEBITDA</t>
  </si>
  <si>
    <t>Total</t>
  </si>
  <si>
    <t>Sponsor Equity</t>
  </si>
  <si>
    <t>Total Sources</t>
  </si>
  <si>
    <t>OpEX</t>
  </si>
  <si>
    <t>CAPEX</t>
  </si>
  <si>
    <t>EBITDA Multiple</t>
  </si>
  <si>
    <t xml:space="preserve">Capital Structure </t>
  </si>
  <si>
    <t>Sources &amp; uses</t>
  </si>
  <si>
    <t>% of sales</t>
  </si>
  <si>
    <t>% of growth</t>
  </si>
  <si>
    <t xml:space="preserve">Taxes </t>
  </si>
  <si>
    <t>% tax rate</t>
  </si>
  <si>
    <t xml:space="preserve">Net Income </t>
  </si>
  <si>
    <t>Year 5</t>
  </si>
  <si>
    <t>Year 4</t>
  </si>
  <si>
    <t>Year 3</t>
  </si>
  <si>
    <t>Year 2</t>
  </si>
  <si>
    <t>Year 1</t>
  </si>
  <si>
    <t>Year 0</t>
  </si>
  <si>
    <t>%Capital</t>
  </si>
  <si>
    <t>Debt Refinancing</t>
  </si>
  <si>
    <t>Equity payment</t>
  </si>
  <si>
    <t>Total uses</t>
  </si>
  <si>
    <t>Cash Flow Items</t>
  </si>
  <si>
    <t>Net Working Capital</t>
  </si>
  <si>
    <t>Change in Net Working Capital</t>
  </si>
  <si>
    <t>CapEx</t>
  </si>
  <si>
    <t>x</t>
  </si>
  <si>
    <t>Leveraged Free Cash Flow</t>
  </si>
  <si>
    <t>Net Income</t>
  </si>
  <si>
    <t>Change in NWC</t>
  </si>
  <si>
    <t>Debt schedule</t>
  </si>
  <si>
    <t xml:space="preserve">   Beginning Balance</t>
  </si>
  <si>
    <t xml:space="preserve">   Interest</t>
  </si>
  <si>
    <t xml:space="preserve">   Paydown</t>
  </si>
  <si>
    <t xml:space="preserve">   Ending balance</t>
  </si>
  <si>
    <t>Bank Debt</t>
  </si>
  <si>
    <t>Senior Debt</t>
  </si>
  <si>
    <t>Total Debt</t>
  </si>
  <si>
    <t>IRR</t>
  </si>
  <si>
    <t>LTM EBITDA at Exit</t>
  </si>
  <si>
    <t>Net Debt</t>
  </si>
  <si>
    <t>Sponsor Equity Value</t>
  </si>
  <si>
    <t>Sponsor Equity at Entry</t>
  </si>
  <si>
    <t>MOIC</t>
  </si>
  <si>
    <t xml:space="preserve">IRR For Refernce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</si>
</sst>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0.0%"/>
    <numFmt numFmtId="165" formatCode="0.0\x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7030A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1" xfId="0" applyBorder="1"/>
    <xf numFmtId="0" fontId="3" fillId="0" borderId="0" xfId="0" applyFont="1"/>
    <xf numFmtId="0" fontId="5" fillId="0" borderId="0" xfId="0" applyFont="1"/>
    <xf numFmtId="0" fontId="7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9" fillId="3" borderId="0" xfId="0" applyFont="1" applyFill="1"/>
    <xf numFmtId="0" fontId="0" fillId="4" borderId="0" xfId="0" applyFill="1"/>
    <xf numFmtId="3" fontId="10" fillId="2" borderId="2" xfId="0" applyNumberFormat="1" applyFont="1" applyFill="1" applyBorder="1"/>
    <xf numFmtId="0" fontId="10" fillId="2" borderId="2" xfId="0" applyFont="1" applyFill="1" applyBorder="1"/>
    <xf numFmtId="0" fontId="10" fillId="0" borderId="0" xfId="0" applyFont="1"/>
    <xf numFmtId="9" fontId="10" fillId="2" borderId="2" xfId="0" applyNumberFormat="1" applyFont="1" applyFill="1" applyBorder="1"/>
    <xf numFmtId="164" fontId="10" fillId="2" borderId="2" xfId="1" applyNumberFormat="1" applyFont="1" applyFill="1" applyBorder="1"/>
    <xf numFmtId="164" fontId="10" fillId="2" borderId="2" xfId="0" applyNumberFormat="1" applyFont="1" applyFill="1" applyBorder="1"/>
    <xf numFmtId="3" fontId="0" fillId="0" borderId="0" xfId="0" applyNumberFormat="1"/>
    <xf numFmtId="3" fontId="6" fillId="0" borderId="0" xfId="0" applyNumberFormat="1" applyFont="1"/>
    <xf numFmtId="0" fontId="6" fillId="0" borderId="0" xfId="0" applyFont="1"/>
    <xf numFmtId="1" fontId="0" fillId="0" borderId="0" xfId="0" applyNumberFormat="1"/>
    <xf numFmtId="3" fontId="3" fillId="0" borderId="0" xfId="0" applyNumberFormat="1" applyFont="1"/>
    <xf numFmtId="165" fontId="0" fillId="0" borderId="0" xfId="2" applyNumberFormat="1" applyFont="1"/>
    <xf numFmtId="165" fontId="3" fillId="0" borderId="0" xfId="0" applyNumberFormat="1" applyFont="1"/>
    <xf numFmtId="0" fontId="4" fillId="0" borderId="1" xfId="0" applyFont="1" applyBorder="1" applyAlignment="1">
      <alignment horizontal="left"/>
    </xf>
    <xf numFmtId="9" fontId="0" fillId="0" borderId="0" xfId="1" applyFont="1"/>
    <xf numFmtId="164" fontId="0" fillId="0" borderId="0" xfId="1" applyNumberFormat="1" applyFont="1"/>
    <xf numFmtId="0" fontId="3" fillId="5" borderId="3" xfId="0" applyFont="1" applyFill="1" applyBorder="1"/>
    <xf numFmtId="0" fontId="3" fillId="5" borderId="4" xfId="0" applyFont="1" applyFill="1" applyBorder="1"/>
    <xf numFmtId="3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3" fillId="5" borderId="5" xfId="0" applyNumberFormat="1" applyFont="1" applyFill="1" applyBorder="1"/>
    <xf numFmtId="165" fontId="0" fillId="0" borderId="1" xfId="2" applyNumberFormat="1" applyFont="1" applyBorder="1"/>
    <xf numFmtId="3" fontId="0" fillId="0" borderId="1" xfId="0" applyNumberFormat="1" applyBorder="1"/>
    <xf numFmtId="3" fontId="10" fillId="2" borderId="1" xfId="0" applyNumberFormat="1" applyFont="1" applyFill="1" applyBorder="1" applyAlignment="1">
      <alignment horizontal="center" vertical="center"/>
    </xf>
    <xf numFmtId="165" fontId="10" fillId="2" borderId="1" xfId="3" applyNumberFormat="1" applyFont="1" applyFill="1" applyBorder="1" applyAlignment="1">
      <alignment horizontal="center" vertical="center"/>
    </xf>
    <xf numFmtId="164" fontId="0" fillId="0" borderId="1" xfId="1" applyNumberFormat="1" applyFont="1" applyBorder="1"/>
    <xf numFmtId="1" fontId="6" fillId="0" borderId="0" xfId="0" applyNumberFormat="1" applyFont="1"/>
    <xf numFmtId="164" fontId="6" fillId="0" borderId="0" xfId="1" applyNumberFormat="1" applyFont="1"/>
    <xf numFmtId="164" fontId="7" fillId="0" borderId="0" xfId="1" applyNumberFormat="1" applyFont="1"/>
    <xf numFmtId="164" fontId="8" fillId="0" borderId="0" xfId="1" applyNumberFormat="1" applyFont="1"/>
    <xf numFmtId="164" fontId="8" fillId="0" borderId="0" xfId="0" applyNumberFormat="1" applyFont="1"/>
    <xf numFmtId="0" fontId="0" fillId="0" borderId="0" xfId="0" applyAlignment="1">
      <alignment horizontal="left"/>
    </xf>
    <xf numFmtId="1" fontId="3" fillId="5" borderId="4" xfId="0" applyNumberFormat="1" applyFont="1" applyFill="1" applyBorder="1"/>
    <xf numFmtId="1" fontId="3" fillId="5" borderId="5" xfId="0" applyNumberFormat="1" applyFont="1" applyFill="1" applyBorder="1"/>
    <xf numFmtId="0" fontId="2" fillId="6" borderId="0" xfId="0" applyFont="1" applyFill="1"/>
    <xf numFmtId="0" fontId="9" fillId="6" borderId="0" xfId="0" applyFont="1" applyFill="1"/>
    <xf numFmtId="0" fontId="3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1" fontId="0" fillId="0" borderId="1" xfId="0" applyNumberFormat="1" applyBorder="1"/>
    <xf numFmtId="3" fontId="11" fillId="0" borderId="0" xfId="0" applyNumberFormat="1" applyFont="1"/>
    <xf numFmtId="1" fontId="3" fillId="0" borderId="0" xfId="0" applyNumberFormat="1" applyFont="1"/>
    <xf numFmtId="0" fontId="0" fillId="4" borderId="0" xfId="0" applyFill="1" applyAlignment="1">
      <alignment horizontal="left"/>
    </xf>
    <xf numFmtId="3" fontId="0" fillId="4" borderId="0" xfId="0" applyNumberFormat="1" applyFill="1"/>
    <xf numFmtId="0" fontId="3" fillId="7" borderId="3" xfId="0" applyFont="1" applyFill="1" applyBorder="1" applyAlignment="1">
      <alignment horizontal="left"/>
    </xf>
    <xf numFmtId="0" fontId="3" fillId="7" borderId="4" xfId="0" applyFont="1" applyFill="1" applyBorder="1"/>
    <xf numFmtId="3" fontId="3" fillId="7" borderId="4" xfId="0" applyNumberFormat="1" applyFont="1" applyFill="1" applyBorder="1"/>
    <xf numFmtId="3" fontId="3" fillId="7" borderId="5" xfId="0" applyNumberFormat="1" applyFont="1" applyFill="1" applyBorder="1"/>
    <xf numFmtId="165" fontId="6" fillId="0" borderId="1" xfId="0" applyNumberFormat="1" applyFont="1" applyBorder="1" applyAlignment="1">
      <alignment horizontal="right"/>
    </xf>
    <xf numFmtId="165" fontId="6" fillId="0" borderId="0" xfId="0" applyNumberFormat="1" applyFont="1" applyAlignment="1">
      <alignment horizontal="center"/>
    </xf>
    <xf numFmtId="165" fontId="6" fillId="0" borderId="0" xfId="0" applyNumberFormat="1" applyFont="1"/>
    <xf numFmtId="0" fontId="0" fillId="7" borderId="6" xfId="0" applyFill="1" applyBorder="1"/>
    <xf numFmtId="0" fontId="0" fillId="7" borderId="7" xfId="0" applyFill="1" applyBorder="1"/>
    <xf numFmtId="165" fontId="6" fillId="7" borderId="8" xfId="0" applyNumberFormat="1" applyFont="1" applyFill="1" applyBorder="1"/>
    <xf numFmtId="0" fontId="0" fillId="7" borderId="9" xfId="0" applyFill="1" applyBorder="1"/>
    <xf numFmtId="0" fontId="0" fillId="7" borderId="10" xfId="0" applyFill="1" applyBorder="1"/>
    <xf numFmtId="164" fontId="0" fillId="7" borderId="11" xfId="1" applyNumberFormat="1" applyFont="1" applyFill="1" applyBorder="1"/>
    <xf numFmtId="164" fontId="6" fillId="0" borderId="0" xfId="0" applyNumberFormat="1" applyFont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1B37F-5AC7-41AF-B5DE-2D565B1E6A4E}">
  <dimension ref="A2:Q133"/>
  <sheetViews>
    <sheetView showGridLines="0" tabSelected="1" topLeftCell="A92" zoomScale="104" zoomScaleNormal="100" workbookViewId="0">
      <selection activeCell="Q105" sqref="Q105"/>
    </sheetView>
  </sheetViews>
  <sheetFormatPr defaultColWidth="8.77734375" defaultRowHeight="14.4" x14ac:dyDescent="0.3"/>
  <cols>
    <col min="1" max="1" width="3.6640625" style="6" customWidth="1"/>
    <col min="2" max="2" width="12.33203125" customWidth="1"/>
    <col min="16" max="16" width="9.44140625" customWidth="1"/>
    <col min="17" max="17" width="9.5546875" bestFit="1" customWidth="1"/>
  </cols>
  <sheetData>
    <row r="2" spans="1:17" s="1" customFormat="1" ht="21" x14ac:dyDescent="0.4">
      <c r="A2" s="5"/>
      <c r="B2" s="23" t="s">
        <v>4</v>
      </c>
    </row>
    <row r="4" spans="1:17" x14ac:dyDescent="0.3">
      <c r="B4" t="s">
        <v>0</v>
      </c>
    </row>
    <row r="5" spans="1:17" x14ac:dyDescent="0.3">
      <c r="B5" t="s">
        <v>1</v>
      </c>
    </row>
    <row r="6" spans="1:17" x14ac:dyDescent="0.3">
      <c r="B6" t="s">
        <v>35</v>
      </c>
    </row>
    <row r="7" spans="1:17" x14ac:dyDescent="0.3">
      <c r="B7" t="s">
        <v>24</v>
      </c>
    </row>
    <row r="8" spans="1:17" x14ac:dyDescent="0.3">
      <c r="B8" t="s">
        <v>2</v>
      </c>
    </row>
    <row r="9" spans="1:17" x14ac:dyDescent="0.3">
      <c r="B9" t="s">
        <v>3</v>
      </c>
    </row>
    <row r="11" spans="1:17" x14ac:dyDescent="0.3">
      <c r="A11" s="41" t="s">
        <v>66</v>
      </c>
      <c r="B11" s="44" t="s">
        <v>5</v>
      </c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</row>
    <row r="12" spans="1:17" ht="4.95" customHeight="1" x14ac:dyDescent="0.3"/>
    <row r="13" spans="1:17" x14ac:dyDescent="0.3">
      <c r="B13" s="8" t="s">
        <v>6</v>
      </c>
      <c r="C13" s="8"/>
      <c r="D13" s="8"/>
      <c r="E13" s="8"/>
      <c r="H13" s="8" t="s">
        <v>16</v>
      </c>
      <c r="I13" s="7"/>
      <c r="J13" s="7"/>
      <c r="K13" s="7"/>
      <c r="M13" s="8" t="s">
        <v>45</v>
      </c>
      <c r="N13" s="7"/>
      <c r="O13" s="7"/>
      <c r="P13" s="8" t="s">
        <v>28</v>
      </c>
      <c r="Q13" s="8" t="s">
        <v>29</v>
      </c>
    </row>
    <row r="14" spans="1:17" x14ac:dyDescent="0.3">
      <c r="B14" s="3" t="s">
        <v>7</v>
      </c>
      <c r="H14" t="s">
        <v>17</v>
      </c>
      <c r="K14" s="16">
        <v>700</v>
      </c>
      <c r="M14" t="s">
        <v>25</v>
      </c>
      <c r="P14" s="10">
        <v>200</v>
      </c>
      <c r="Q14" s="14">
        <v>7.4999999999999997E-2</v>
      </c>
    </row>
    <row r="15" spans="1:17" x14ac:dyDescent="0.3">
      <c r="B15" t="s">
        <v>8</v>
      </c>
      <c r="C15" s="9"/>
      <c r="D15" s="9"/>
      <c r="E15" s="10">
        <v>2000</v>
      </c>
      <c r="H15" s="1" t="s">
        <v>44</v>
      </c>
      <c r="I15" s="1"/>
      <c r="J15" s="1"/>
      <c r="K15" s="34">
        <v>10</v>
      </c>
      <c r="M15" t="s">
        <v>26</v>
      </c>
      <c r="P15" s="10">
        <v>2500</v>
      </c>
      <c r="Q15" s="15">
        <v>9.5000000000000001E-2</v>
      </c>
    </row>
    <row r="16" spans="1:17" x14ac:dyDescent="0.3">
      <c r="B16" t="s">
        <v>9</v>
      </c>
      <c r="C16" s="9"/>
      <c r="D16" s="9"/>
      <c r="E16" s="11">
        <v>900</v>
      </c>
      <c r="H16" s="2" t="s">
        <v>18</v>
      </c>
      <c r="K16" s="2">
        <f>K14*K15</f>
        <v>7000</v>
      </c>
      <c r="M16" t="s">
        <v>27</v>
      </c>
      <c r="P16" s="10">
        <v>1500</v>
      </c>
      <c r="Q16" s="15">
        <v>0.125</v>
      </c>
    </row>
    <row r="17" spans="1:17" x14ac:dyDescent="0.3">
      <c r="B17" t="s">
        <v>42</v>
      </c>
      <c r="C17" s="9"/>
      <c r="D17" s="9"/>
      <c r="E17" s="11">
        <v>500</v>
      </c>
      <c r="H17" s="1" t="s">
        <v>19</v>
      </c>
      <c r="I17" s="1"/>
      <c r="J17" s="1"/>
      <c r="K17" s="33">
        <v>1000</v>
      </c>
    </row>
    <row r="18" spans="1:17" x14ac:dyDescent="0.3">
      <c r="B18" t="s">
        <v>11</v>
      </c>
      <c r="C18" s="9"/>
      <c r="D18" s="9"/>
      <c r="E18" s="11">
        <v>100</v>
      </c>
      <c r="H18" s="2" t="s">
        <v>20</v>
      </c>
      <c r="I18" s="2"/>
      <c r="K18" s="20">
        <f>K16-K17</f>
        <v>6000</v>
      </c>
      <c r="M18" s="8" t="s">
        <v>84</v>
      </c>
      <c r="N18" s="7"/>
      <c r="O18" s="7"/>
      <c r="P18" s="8"/>
      <c r="Q18" s="8"/>
    </row>
    <row r="19" spans="1:17" x14ac:dyDescent="0.3">
      <c r="B19" t="s">
        <v>12</v>
      </c>
      <c r="C19" s="9"/>
      <c r="D19" s="9"/>
      <c r="E19" s="11">
        <v>200</v>
      </c>
      <c r="M19" t="s">
        <v>83</v>
      </c>
      <c r="Q19" s="59">
        <f>Q132</f>
        <v>2.8420395749121585</v>
      </c>
    </row>
    <row r="20" spans="1:17" x14ac:dyDescent="0.3">
      <c r="B20" t="s">
        <v>43</v>
      </c>
      <c r="C20" s="9"/>
      <c r="D20" s="9"/>
      <c r="E20" s="11">
        <v>140</v>
      </c>
      <c r="H20" t="s">
        <v>21</v>
      </c>
      <c r="K20" s="11">
        <v>100</v>
      </c>
      <c r="M20" t="s">
        <v>78</v>
      </c>
      <c r="Q20" s="66">
        <f>Q133</f>
        <v>0.23232717123052216</v>
      </c>
    </row>
    <row r="21" spans="1:17" x14ac:dyDescent="0.3">
      <c r="C21" s="9"/>
      <c r="D21" s="9"/>
      <c r="E21" s="12"/>
    </row>
    <row r="22" spans="1:17" x14ac:dyDescent="0.3">
      <c r="B22" s="3" t="s">
        <v>13</v>
      </c>
      <c r="E22" s="12"/>
      <c r="H22" s="8" t="s">
        <v>22</v>
      </c>
      <c r="I22" s="7"/>
      <c r="J22" s="7"/>
      <c r="K22" s="7"/>
    </row>
    <row r="23" spans="1:17" x14ac:dyDescent="0.3">
      <c r="B23" t="s">
        <v>14</v>
      </c>
      <c r="E23" s="13">
        <v>0.1</v>
      </c>
      <c r="H23" t="s">
        <v>23</v>
      </c>
      <c r="K23" s="58">
        <v>10</v>
      </c>
    </row>
    <row r="24" spans="1:17" x14ac:dyDescent="0.3">
      <c r="B24" t="s">
        <v>15</v>
      </c>
      <c r="E24" s="13">
        <v>0.21</v>
      </c>
    </row>
    <row r="26" spans="1:17" x14ac:dyDescent="0.3">
      <c r="A26" s="41" t="s">
        <v>66</v>
      </c>
      <c r="B26" s="45" t="s">
        <v>46</v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</row>
    <row r="27" spans="1:17" ht="4.95" customHeight="1" x14ac:dyDescent="0.3"/>
    <row r="28" spans="1:17" x14ac:dyDescent="0.3">
      <c r="B28" s="8" t="s">
        <v>37</v>
      </c>
      <c r="C28" s="7"/>
      <c r="D28" s="7"/>
      <c r="E28" s="7"/>
      <c r="F28" s="7"/>
      <c r="G28" s="7"/>
      <c r="K28" s="8" t="s">
        <v>36</v>
      </c>
      <c r="L28" s="7"/>
      <c r="M28" s="7"/>
      <c r="N28" s="7"/>
      <c r="O28" s="7"/>
      <c r="P28" s="7"/>
      <c r="Q28" s="7"/>
    </row>
    <row r="29" spans="1:17" x14ac:dyDescent="0.3">
      <c r="D29" s="3"/>
      <c r="E29" s="3" t="s">
        <v>28</v>
      </c>
      <c r="F29" s="3" t="s">
        <v>38</v>
      </c>
      <c r="G29" s="3" t="s">
        <v>58</v>
      </c>
      <c r="N29" s="3"/>
      <c r="O29" s="3" t="s">
        <v>28</v>
      </c>
      <c r="P29" s="3" t="s">
        <v>38</v>
      </c>
      <c r="Q29" s="3" t="s">
        <v>58</v>
      </c>
    </row>
    <row r="30" spans="1:17" x14ac:dyDescent="0.3">
      <c r="B30" t="s">
        <v>25</v>
      </c>
      <c r="E30">
        <v>200</v>
      </c>
      <c r="F30" s="21">
        <f>E30/K14</f>
        <v>0.2857142857142857</v>
      </c>
      <c r="G30" s="25">
        <f>E30/E$37</f>
        <v>2.8169014084507043E-2</v>
      </c>
      <c r="K30" t="s">
        <v>59</v>
      </c>
      <c r="O30" s="17">
        <f>K17</f>
        <v>1000</v>
      </c>
      <c r="P30" s="21">
        <f>O30/K$14</f>
        <v>1.4285714285714286</v>
      </c>
      <c r="Q30" s="25">
        <f>O30/O$37</f>
        <v>0.14084507042253522</v>
      </c>
    </row>
    <row r="31" spans="1:17" x14ac:dyDescent="0.3">
      <c r="B31" t="s">
        <v>26</v>
      </c>
      <c r="D31" s="16"/>
      <c r="E31" s="16">
        <v>2500</v>
      </c>
      <c r="F31" s="21">
        <f>E31/K14</f>
        <v>3.5714285714285716</v>
      </c>
      <c r="G31" s="25">
        <f t="shared" ref="G31:G37" si="0">E31/E$37</f>
        <v>0.352112676056338</v>
      </c>
      <c r="K31" t="s">
        <v>60</v>
      </c>
      <c r="O31" s="17">
        <f>K18</f>
        <v>6000</v>
      </c>
      <c r="P31" s="21">
        <f>O31/K$14</f>
        <v>8.5714285714285712</v>
      </c>
      <c r="Q31" s="25">
        <f>O31/O$37</f>
        <v>0.84507042253521125</v>
      </c>
    </row>
    <row r="32" spans="1:17" x14ac:dyDescent="0.3">
      <c r="B32" s="1" t="s">
        <v>27</v>
      </c>
      <c r="C32" s="1"/>
      <c r="D32" s="32"/>
      <c r="E32" s="32">
        <v>1500</v>
      </c>
      <c r="F32" s="31">
        <f>E32/K14</f>
        <v>2.1428571428571428</v>
      </c>
      <c r="G32" s="35">
        <f t="shared" si="0"/>
        <v>0.21126760563380281</v>
      </c>
      <c r="O32" s="18"/>
    </row>
    <row r="33" spans="1:17" x14ac:dyDescent="0.3">
      <c r="B33" s="2" t="s">
        <v>39</v>
      </c>
      <c r="C33" s="2"/>
      <c r="D33" s="20"/>
      <c r="E33" s="20">
        <f>E30+E31+E32</f>
        <v>4200</v>
      </c>
      <c r="F33" s="22">
        <f>F30+F31+F32</f>
        <v>6</v>
      </c>
      <c r="G33" s="25">
        <f t="shared" si="0"/>
        <v>0.59154929577464788</v>
      </c>
      <c r="K33" t="s">
        <v>21</v>
      </c>
      <c r="O33" s="18">
        <f>K20</f>
        <v>100</v>
      </c>
      <c r="P33" s="21">
        <f>O33/K$14</f>
        <v>0.14285714285714285</v>
      </c>
      <c r="Q33" s="25">
        <f>O33/O$37</f>
        <v>1.4084507042253521E-2</v>
      </c>
    </row>
    <row r="34" spans="1:17" x14ac:dyDescent="0.3">
      <c r="G34" s="25"/>
    </row>
    <row r="35" spans="1:17" x14ac:dyDescent="0.3">
      <c r="B35" t="s">
        <v>40</v>
      </c>
      <c r="E35" s="16">
        <f>E37-E33</f>
        <v>2900</v>
      </c>
      <c r="G35" s="25">
        <f t="shared" si="0"/>
        <v>0.40845070422535212</v>
      </c>
    </row>
    <row r="36" spans="1:17" ht="15" thickBot="1" x14ac:dyDescent="0.35">
      <c r="G36" s="24"/>
    </row>
    <row r="37" spans="1:17" ht="15" thickBot="1" x14ac:dyDescent="0.35">
      <c r="B37" t="s">
        <v>41</v>
      </c>
      <c r="E37" s="16">
        <v>7100</v>
      </c>
      <c r="G37" s="24">
        <f t="shared" si="0"/>
        <v>1</v>
      </c>
      <c r="K37" s="26" t="s">
        <v>61</v>
      </c>
      <c r="L37" s="27"/>
      <c r="M37" s="27"/>
      <c r="N37" s="27"/>
      <c r="O37" s="28">
        <f>O30+O31+O33</f>
        <v>7100</v>
      </c>
      <c r="P37" s="29">
        <f>P30+P31+P33</f>
        <v>10.142857142857142</v>
      </c>
      <c r="Q37" s="30">
        <f>Q30+Q31+Q33</f>
        <v>1</v>
      </c>
    </row>
    <row r="40" spans="1:17" x14ac:dyDescent="0.3">
      <c r="A40" s="6" t="s">
        <v>66</v>
      </c>
      <c r="B40" s="45" t="s">
        <v>6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</row>
    <row r="41" spans="1:17" ht="5.4" customHeight="1" x14ac:dyDescent="0.3"/>
    <row r="42" spans="1:17" ht="14.4" customHeight="1" x14ac:dyDescent="0.3">
      <c r="B42" s="8" t="s">
        <v>30</v>
      </c>
      <c r="C42" s="7"/>
      <c r="D42" s="7"/>
      <c r="E42" s="7"/>
      <c r="F42" s="7"/>
      <c r="G42" s="7"/>
      <c r="H42" s="7"/>
      <c r="I42" s="7"/>
      <c r="J42" s="7"/>
      <c r="K42" s="7"/>
      <c r="L42" s="8" t="s">
        <v>57</v>
      </c>
      <c r="M42" s="8" t="s">
        <v>56</v>
      </c>
      <c r="N42" s="8" t="s">
        <v>55</v>
      </c>
      <c r="O42" s="8" t="s">
        <v>54</v>
      </c>
      <c r="P42" s="8" t="s">
        <v>53</v>
      </c>
      <c r="Q42" s="8" t="s">
        <v>52</v>
      </c>
    </row>
    <row r="43" spans="1:17" x14ac:dyDescent="0.3">
      <c r="B43" t="s">
        <v>8</v>
      </c>
      <c r="L43" s="17">
        <f>E15</f>
        <v>2000</v>
      </c>
      <c r="M43">
        <f>L43*(1+M44)</f>
        <v>2200</v>
      </c>
      <c r="N43">
        <f t="shared" ref="N43:Q43" si="1">M43*(1+N44)</f>
        <v>2420</v>
      </c>
      <c r="O43">
        <f t="shared" si="1"/>
        <v>2662</v>
      </c>
      <c r="P43" s="19">
        <f t="shared" si="1"/>
        <v>2928.2000000000003</v>
      </c>
      <c r="Q43" s="19">
        <f t="shared" si="1"/>
        <v>3221.0200000000004</v>
      </c>
    </row>
    <row r="44" spans="1:17" x14ac:dyDescent="0.3">
      <c r="B44" s="4" t="s">
        <v>48</v>
      </c>
      <c r="M44" s="40">
        <f>E23</f>
        <v>0.1</v>
      </c>
      <c r="N44" s="40">
        <f>E23</f>
        <v>0.1</v>
      </c>
      <c r="O44" s="40">
        <f>E23</f>
        <v>0.1</v>
      </c>
      <c r="P44" s="40">
        <f>E23</f>
        <v>0.1</v>
      </c>
      <c r="Q44" s="40">
        <f>E23</f>
        <v>0.1</v>
      </c>
    </row>
    <row r="46" spans="1:17" x14ac:dyDescent="0.3">
      <c r="B46" t="s">
        <v>9</v>
      </c>
      <c r="L46" s="18">
        <f>E16</f>
        <v>900</v>
      </c>
      <c r="M46">
        <f>M47*M43</f>
        <v>990</v>
      </c>
      <c r="N46">
        <f t="shared" ref="N46:Q46" si="2">N47*N43</f>
        <v>1089</v>
      </c>
      <c r="O46" s="19">
        <f t="shared" si="2"/>
        <v>1197.9000000000001</v>
      </c>
      <c r="P46" s="19">
        <f t="shared" si="2"/>
        <v>1317.69</v>
      </c>
      <c r="Q46" s="19">
        <f t="shared" si="2"/>
        <v>1449.4590000000003</v>
      </c>
    </row>
    <row r="47" spans="1:17" x14ac:dyDescent="0.3">
      <c r="B47" s="4" t="s">
        <v>47</v>
      </c>
      <c r="L47" s="38">
        <v>0.45</v>
      </c>
      <c r="M47" s="39">
        <v>0.45</v>
      </c>
      <c r="N47" s="39">
        <v>0.45</v>
      </c>
      <c r="O47" s="39">
        <v>0.45</v>
      </c>
      <c r="P47" s="39">
        <v>0.45</v>
      </c>
      <c r="Q47" s="39">
        <v>0.45</v>
      </c>
    </row>
    <row r="49" spans="2:17" x14ac:dyDescent="0.3">
      <c r="B49" t="s">
        <v>31</v>
      </c>
      <c r="L49" s="16">
        <f>L43-L46</f>
        <v>1100</v>
      </c>
      <c r="M49" s="16">
        <f t="shared" ref="M49:Q49" si="3">M43-M46</f>
        <v>1210</v>
      </c>
      <c r="N49" s="16">
        <f t="shared" si="3"/>
        <v>1331</v>
      </c>
      <c r="O49" s="16">
        <f t="shared" si="3"/>
        <v>1464.1</v>
      </c>
      <c r="P49" s="16">
        <f t="shared" si="3"/>
        <v>1610.5100000000002</v>
      </c>
      <c r="Q49" s="16">
        <f t="shared" si="3"/>
        <v>1771.5610000000001</v>
      </c>
    </row>
    <row r="50" spans="2:17" ht="14.4" customHeight="1" x14ac:dyDescent="0.3">
      <c r="B50" s="4" t="s">
        <v>47</v>
      </c>
      <c r="L50" s="38">
        <f>L49/L43</f>
        <v>0.55000000000000004</v>
      </c>
      <c r="M50" s="38">
        <f t="shared" ref="M50:Q50" si="4">M49/M43</f>
        <v>0.55000000000000004</v>
      </c>
      <c r="N50" s="38">
        <f t="shared" si="4"/>
        <v>0.55000000000000004</v>
      </c>
      <c r="O50" s="38">
        <f t="shared" si="4"/>
        <v>0.54999999999999993</v>
      </c>
      <c r="P50" s="38">
        <f t="shared" si="4"/>
        <v>0.55000000000000004</v>
      </c>
      <c r="Q50" s="38">
        <f t="shared" si="4"/>
        <v>0.54999999999999993</v>
      </c>
    </row>
    <row r="52" spans="2:17" x14ac:dyDescent="0.3">
      <c r="B52" t="s">
        <v>10</v>
      </c>
      <c r="L52" s="18">
        <f>E17</f>
        <v>500</v>
      </c>
      <c r="M52">
        <f>M53*M43</f>
        <v>550</v>
      </c>
      <c r="N52">
        <f t="shared" ref="N52:Q52" si="5">N53*N43</f>
        <v>605</v>
      </c>
      <c r="O52">
        <f t="shared" si="5"/>
        <v>665.5</v>
      </c>
      <c r="P52">
        <f t="shared" si="5"/>
        <v>732.05000000000007</v>
      </c>
      <c r="Q52" s="19">
        <f t="shared" si="5"/>
        <v>805.25500000000011</v>
      </c>
    </row>
    <row r="53" spans="2:17" x14ac:dyDescent="0.3">
      <c r="B53" s="4" t="s">
        <v>47</v>
      </c>
      <c r="L53" s="38">
        <v>0.25</v>
      </c>
      <c r="M53" s="39">
        <v>0.25</v>
      </c>
      <c r="N53" s="39">
        <v>0.25</v>
      </c>
      <c r="O53" s="39">
        <v>0.25</v>
      </c>
      <c r="P53" s="39">
        <v>0.25</v>
      </c>
      <c r="Q53" s="39">
        <v>0.25</v>
      </c>
    </row>
    <row r="55" spans="2:17" x14ac:dyDescent="0.3">
      <c r="B55" t="s">
        <v>32</v>
      </c>
      <c r="L55" s="16">
        <f>L49-L52</f>
        <v>600</v>
      </c>
      <c r="M55" s="16">
        <f t="shared" ref="M55:Q55" si="6">M49-M52</f>
        <v>660</v>
      </c>
      <c r="N55" s="16">
        <f t="shared" si="6"/>
        <v>726</v>
      </c>
      <c r="O55" s="16">
        <f t="shared" si="6"/>
        <v>798.59999999999991</v>
      </c>
      <c r="P55" s="16">
        <f t="shared" si="6"/>
        <v>878.46000000000015</v>
      </c>
      <c r="Q55" s="16">
        <f t="shared" si="6"/>
        <v>966.30600000000004</v>
      </c>
    </row>
    <row r="56" spans="2:17" x14ac:dyDescent="0.3">
      <c r="B56" s="4" t="s">
        <v>47</v>
      </c>
      <c r="L56" s="38">
        <v>0.3</v>
      </c>
      <c r="M56" s="38">
        <v>0.3</v>
      </c>
      <c r="N56" s="38">
        <v>0.3</v>
      </c>
      <c r="O56" s="38">
        <v>0.3</v>
      </c>
      <c r="P56" s="38">
        <v>0.3</v>
      </c>
      <c r="Q56" s="38">
        <v>0.3</v>
      </c>
    </row>
    <row r="58" spans="2:17" x14ac:dyDescent="0.3">
      <c r="B58" t="s">
        <v>11</v>
      </c>
      <c r="L58" s="18">
        <f>E18</f>
        <v>100</v>
      </c>
      <c r="M58" s="19">
        <f>M59*M43</f>
        <v>110</v>
      </c>
      <c r="N58" s="19">
        <f t="shared" ref="N58:Q58" si="7">N59*N43</f>
        <v>121</v>
      </c>
      <c r="O58" s="19">
        <f t="shared" si="7"/>
        <v>133.1</v>
      </c>
      <c r="P58" s="19">
        <f t="shared" si="7"/>
        <v>146.41000000000003</v>
      </c>
      <c r="Q58" s="19">
        <f t="shared" si="7"/>
        <v>161.05100000000004</v>
      </c>
    </row>
    <row r="59" spans="2:17" x14ac:dyDescent="0.3">
      <c r="B59" s="4" t="s">
        <v>47</v>
      </c>
      <c r="L59" s="38">
        <v>0.05</v>
      </c>
      <c r="M59" s="39">
        <v>0.05</v>
      </c>
      <c r="N59" s="39">
        <v>0.05</v>
      </c>
      <c r="O59" s="39">
        <v>0.05</v>
      </c>
      <c r="P59" s="39">
        <v>0.05</v>
      </c>
      <c r="Q59" s="39">
        <v>0.05</v>
      </c>
    </row>
    <row r="61" spans="2:17" x14ac:dyDescent="0.3">
      <c r="B61" t="s">
        <v>33</v>
      </c>
      <c r="L61" s="16">
        <f>L58+L55</f>
        <v>700</v>
      </c>
      <c r="M61" s="19">
        <f>M62*M43</f>
        <v>770</v>
      </c>
      <c r="N61" s="19">
        <f t="shared" ref="N61:Q61" si="8">N62*N43</f>
        <v>847</v>
      </c>
      <c r="O61" s="19">
        <f t="shared" si="8"/>
        <v>931.69999999999993</v>
      </c>
      <c r="P61" s="19">
        <f t="shared" si="8"/>
        <v>1024.8700000000001</v>
      </c>
      <c r="Q61" s="19">
        <f t="shared" si="8"/>
        <v>1127.357</v>
      </c>
    </row>
    <row r="62" spans="2:17" x14ac:dyDescent="0.3">
      <c r="B62" s="4" t="s">
        <v>47</v>
      </c>
      <c r="L62" s="38">
        <v>0.35</v>
      </c>
      <c r="M62" s="38">
        <v>0.35</v>
      </c>
      <c r="N62" s="38">
        <v>0.35</v>
      </c>
      <c r="O62" s="38">
        <v>0.35</v>
      </c>
      <c r="P62" s="38">
        <v>0.35</v>
      </c>
      <c r="Q62" s="38">
        <v>0.35</v>
      </c>
    </row>
    <row r="64" spans="2:17" x14ac:dyDescent="0.3">
      <c r="B64" t="s">
        <v>29</v>
      </c>
      <c r="M64" s="16">
        <f>M117</f>
        <v>440</v>
      </c>
      <c r="N64" s="16">
        <f t="shared" ref="N64:Q64" si="9">N117</f>
        <v>431.76499999999999</v>
      </c>
      <c r="O64" s="16">
        <f t="shared" si="9"/>
        <v>418.17466324999998</v>
      </c>
      <c r="P64" s="16">
        <f t="shared" si="9"/>
        <v>396.98054172691252</v>
      </c>
      <c r="Q64" s="16">
        <f t="shared" si="9"/>
        <v>368.93798838351728</v>
      </c>
    </row>
    <row r="66" spans="1:17" x14ac:dyDescent="0.3">
      <c r="B66" t="s">
        <v>34</v>
      </c>
      <c r="M66" s="16">
        <f>M55-M64</f>
        <v>220</v>
      </c>
      <c r="N66" s="16">
        <f t="shared" ref="N66:Q66" si="10">N55-N64</f>
        <v>294.23500000000001</v>
      </c>
      <c r="O66" s="16">
        <f t="shared" si="10"/>
        <v>380.42533674999993</v>
      </c>
      <c r="P66" s="16">
        <f t="shared" si="10"/>
        <v>481.47945827308763</v>
      </c>
      <c r="Q66" s="16">
        <f t="shared" si="10"/>
        <v>597.36801161648282</v>
      </c>
    </row>
    <row r="67" spans="1:17" x14ac:dyDescent="0.3">
      <c r="B67" s="4" t="s">
        <v>47</v>
      </c>
      <c r="M67" s="38">
        <f>M66/M43</f>
        <v>0.1</v>
      </c>
      <c r="N67" s="38">
        <f t="shared" ref="N67:Q67" si="11">N66/N43</f>
        <v>0.12158471074380166</v>
      </c>
      <c r="O67" s="38">
        <f t="shared" si="11"/>
        <v>0.14290959306912093</v>
      </c>
      <c r="P67" s="38">
        <f t="shared" si="11"/>
        <v>0.16442847424120197</v>
      </c>
      <c r="Q67" s="38">
        <f t="shared" si="11"/>
        <v>0.18545926806306162</v>
      </c>
    </row>
    <row r="69" spans="1:17" x14ac:dyDescent="0.3">
      <c r="B69" t="s">
        <v>49</v>
      </c>
      <c r="M69" s="19">
        <f>M70*M66</f>
        <v>46.199999999999996</v>
      </c>
      <c r="N69" s="19">
        <f t="shared" ref="N69:Q69" si="12">N70*N66</f>
        <v>61.789349999999999</v>
      </c>
      <c r="O69" s="19">
        <f t="shared" si="12"/>
        <v>79.889320717499984</v>
      </c>
      <c r="P69" s="19">
        <f t="shared" si="12"/>
        <v>101.1106862373484</v>
      </c>
      <c r="Q69" s="19">
        <f t="shared" si="12"/>
        <v>125.44728243946139</v>
      </c>
    </row>
    <row r="70" spans="1:17" x14ac:dyDescent="0.3">
      <c r="B70" s="4" t="s">
        <v>50</v>
      </c>
      <c r="M70" s="39">
        <v>0.21</v>
      </c>
      <c r="N70" s="39">
        <v>0.21</v>
      </c>
      <c r="O70" s="39">
        <v>0.21</v>
      </c>
      <c r="P70" s="39">
        <v>0.21</v>
      </c>
      <c r="Q70" s="39">
        <v>0.21</v>
      </c>
    </row>
    <row r="72" spans="1:17" x14ac:dyDescent="0.3">
      <c r="B72" t="s">
        <v>51</v>
      </c>
      <c r="M72" s="16">
        <f>M66-M69</f>
        <v>173.8</v>
      </c>
      <c r="N72" s="16">
        <f t="shared" ref="N72:Q72" si="13">N66-N69</f>
        <v>232.44565</v>
      </c>
      <c r="O72" s="16">
        <f t="shared" si="13"/>
        <v>300.53601603249996</v>
      </c>
      <c r="P72" s="16">
        <f t="shared" si="13"/>
        <v>380.3687720357392</v>
      </c>
      <c r="Q72" s="16">
        <f t="shared" si="13"/>
        <v>471.92072917702143</v>
      </c>
    </row>
    <row r="73" spans="1:17" x14ac:dyDescent="0.3">
      <c r="B73" s="4" t="s">
        <v>47</v>
      </c>
      <c r="M73" s="38">
        <f>M72/M43</f>
        <v>7.9000000000000001E-2</v>
      </c>
      <c r="N73" s="38">
        <f t="shared" ref="N73:Q73" si="14">N72/N43</f>
        <v>9.6051921487603303E-2</v>
      </c>
      <c r="O73" s="38">
        <f t="shared" si="14"/>
        <v>0.11289857852460554</v>
      </c>
      <c r="P73" s="38">
        <f t="shared" si="14"/>
        <v>0.12989849465054953</v>
      </c>
      <c r="Q73" s="38">
        <f t="shared" si="14"/>
        <v>0.14651282176981867</v>
      </c>
    </row>
    <row r="75" spans="1:17" x14ac:dyDescent="0.3">
      <c r="A75" s="41" t="s">
        <v>66</v>
      </c>
      <c r="B75" s="8" t="s">
        <v>62</v>
      </c>
      <c r="C75" s="7"/>
      <c r="D75" s="7"/>
      <c r="E75" s="7"/>
      <c r="F75" s="7"/>
      <c r="G75" s="7"/>
      <c r="H75" s="7"/>
      <c r="I75" s="7"/>
      <c r="J75" s="7"/>
      <c r="K75" s="7"/>
      <c r="L75" s="8" t="s">
        <v>57</v>
      </c>
      <c r="M75" s="8" t="s">
        <v>56</v>
      </c>
      <c r="N75" s="8" t="s">
        <v>55</v>
      </c>
      <c r="O75" s="8" t="s">
        <v>54</v>
      </c>
      <c r="P75" s="8" t="s">
        <v>53</v>
      </c>
      <c r="Q75" s="8" t="s">
        <v>52</v>
      </c>
    </row>
    <row r="77" spans="1:17" x14ac:dyDescent="0.3">
      <c r="B77" t="s">
        <v>11</v>
      </c>
      <c r="L77" s="18">
        <f>E18</f>
        <v>100</v>
      </c>
      <c r="M77" s="36">
        <v>110</v>
      </c>
      <c r="N77" s="36">
        <v>121</v>
      </c>
      <c r="O77" s="36">
        <v>133.1</v>
      </c>
      <c r="P77" s="36">
        <v>146.41000000000003</v>
      </c>
      <c r="Q77" s="36">
        <v>161.05100000000004</v>
      </c>
    </row>
    <row r="78" spans="1:17" x14ac:dyDescent="0.3">
      <c r="B78" s="4" t="s">
        <v>47</v>
      </c>
      <c r="L78" s="39">
        <v>0.05</v>
      </c>
      <c r="M78" s="39">
        <v>0.05</v>
      </c>
      <c r="N78" s="39">
        <v>0.05</v>
      </c>
      <c r="O78" s="39">
        <v>0.05</v>
      </c>
      <c r="P78" s="39">
        <v>0.05</v>
      </c>
      <c r="Q78" s="39">
        <v>0.05</v>
      </c>
    </row>
    <row r="79" spans="1:17" x14ac:dyDescent="0.3">
      <c r="M79" s="18"/>
    </row>
    <row r="80" spans="1:17" x14ac:dyDescent="0.3">
      <c r="B80" t="s">
        <v>63</v>
      </c>
      <c r="L80" s="18">
        <f>E19</f>
        <v>200</v>
      </c>
      <c r="M80" s="19">
        <f>M81*M43</f>
        <v>220</v>
      </c>
      <c r="N80" s="19">
        <f t="shared" ref="N80:Q80" si="15">N81*N43</f>
        <v>242</v>
      </c>
      <c r="O80" s="19">
        <f t="shared" si="15"/>
        <v>266.2</v>
      </c>
      <c r="P80" s="19">
        <f t="shared" si="15"/>
        <v>292.82000000000005</v>
      </c>
      <c r="Q80" s="19">
        <f t="shared" si="15"/>
        <v>322.10200000000009</v>
      </c>
    </row>
    <row r="81" spans="1:17" x14ac:dyDescent="0.3">
      <c r="B81" s="4" t="s">
        <v>47</v>
      </c>
      <c r="L81" s="38">
        <v>0.1</v>
      </c>
      <c r="M81" s="39">
        <v>0.1</v>
      </c>
      <c r="N81" s="39">
        <v>0.1</v>
      </c>
      <c r="O81" s="39">
        <v>0.1</v>
      </c>
      <c r="P81" s="39">
        <v>0.1</v>
      </c>
      <c r="Q81" s="39">
        <v>0.1</v>
      </c>
    </row>
    <row r="82" spans="1:17" x14ac:dyDescent="0.3">
      <c r="B82" t="s">
        <v>64</v>
      </c>
      <c r="M82" s="19">
        <f>M80-L80</f>
        <v>20</v>
      </c>
      <c r="N82" s="19">
        <f t="shared" ref="N82:Q82" si="16">N80-M80</f>
        <v>22</v>
      </c>
      <c r="O82" s="19">
        <f t="shared" si="16"/>
        <v>24.199999999999989</v>
      </c>
      <c r="P82" s="19">
        <f t="shared" si="16"/>
        <v>26.620000000000061</v>
      </c>
      <c r="Q82" s="19">
        <f t="shared" si="16"/>
        <v>29.282000000000039</v>
      </c>
    </row>
    <row r="84" spans="1:17" x14ac:dyDescent="0.3">
      <c r="B84" t="s">
        <v>65</v>
      </c>
      <c r="L84">
        <f>E20</f>
        <v>140</v>
      </c>
      <c r="M84" s="19">
        <f>M85*M43</f>
        <v>154.00000000000003</v>
      </c>
      <c r="N84" s="19">
        <f t="shared" ref="N84:Q84" si="17">N85*N43</f>
        <v>169.4</v>
      </c>
      <c r="O84" s="19">
        <f t="shared" si="17"/>
        <v>186.34000000000003</v>
      </c>
      <c r="P84" s="19">
        <f t="shared" si="17"/>
        <v>204.97400000000005</v>
      </c>
      <c r="Q84" s="19">
        <f t="shared" si="17"/>
        <v>225.47140000000005</v>
      </c>
    </row>
    <row r="85" spans="1:17" x14ac:dyDescent="0.3">
      <c r="B85" s="4" t="s">
        <v>47</v>
      </c>
      <c r="L85" s="25">
        <v>7.0000000000000007E-2</v>
      </c>
      <c r="M85" s="37">
        <v>7.0000000000000007E-2</v>
      </c>
      <c r="N85" s="37">
        <v>7.0000000000000007E-2</v>
      </c>
      <c r="O85" s="37">
        <v>7.0000000000000007E-2</v>
      </c>
      <c r="P85" s="37">
        <v>7.0000000000000007E-2</v>
      </c>
      <c r="Q85" s="37">
        <v>7.0000000000000007E-2</v>
      </c>
    </row>
    <row r="87" spans="1:17" x14ac:dyDescent="0.3">
      <c r="A87" s="41" t="s">
        <v>66</v>
      </c>
      <c r="B87" s="8" t="s">
        <v>67</v>
      </c>
      <c r="C87" s="7"/>
      <c r="D87" s="7"/>
      <c r="E87" s="7"/>
      <c r="F87" s="7"/>
      <c r="G87" s="7"/>
      <c r="H87" s="7"/>
      <c r="I87" s="7"/>
      <c r="J87" s="7"/>
      <c r="K87" s="7"/>
      <c r="L87" s="8" t="s">
        <v>57</v>
      </c>
      <c r="M87" s="8" t="s">
        <v>56</v>
      </c>
      <c r="N87" s="8" t="s">
        <v>55</v>
      </c>
      <c r="O87" s="8" t="s">
        <v>54</v>
      </c>
      <c r="P87" s="8" t="s">
        <v>53</v>
      </c>
      <c r="Q87" s="8" t="s">
        <v>52</v>
      </c>
    </row>
    <row r="88" spans="1:17" x14ac:dyDescent="0.3">
      <c r="B88" t="s">
        <v>68</v>
      </c>
      <c r="M88" s="36">
        <f>M72</f>
        <v>173.8</v>
      </c>
      <c r="N88" s="36">
        <f t="shared" ref="N88:Q88" si="18">N72</f>
        <v>232.44565</v>
      </c>
      <c r="O88" s="36">
        <f t="shared" si="18"/>
        <v>300.53601603249996</v>
      </c>
      <c r="P88" s="36">
        <f t="shared" si="18"/>
        <v>380.3687720357392</v>
      </c>
      <c r="Q88" s="36">
        <f t="shared" si="18"/>
        <v>471.92072917702143</v>
      </c>
    </row>
    <row r="89" spans="1:17" x14ac:dyDescent="0.3">
      <c r="B89" t="s">
        <v>11</v>
      </c>
      <c r="M89" s="36">
        <f>M77</f>
        <v>110</v>
      </c>
      <c r="N89" s="36">
        <f t="shared" ref="N89:Q89" si="19">N77</f>
        <v>121</v>
      </c>
      <c r="O89" s="36">
        <f t="shared" si="19"/>
        <v>133.1</v>
      </c>
      <c r="P89" s="36">
        <f t="shared" si="19"/>
        <v>146.41000000000003</v>
      </c>
      <c r="Q89" s="36">
        <f t="shared" si="19"/>
        <v>161.05100000000004</v>
      </c>
    </row>
    <row r="90" spans="1:17" x14ac:dyDescent="0.3">
      <c r="B90" t="s">
        <v>65</v>
      </c>
      <c r="M90" s="36">
        <f>M84</f>
        <v>154.00000000000003</v>
      </c>
      <c r="N90" s="36">
        <f t="shared" ref="N90:Q90" si="20">N84</f>
        <v>169.4</v>
      </c>
      <c r="O90" s="36">
        <f t="shared" si="20"/>
        <v>186.34000000000003</v>
      </c>
      <c r="P90" s="36">
        <f t="shared" si="20"/>
        <v>204.97400000000005</v>
      </c>
      <c r="Q90" s="36">
        <f t="shared" si="20"/>
        <v>225.47140000000005</v>
      </c>
    </row>
    <row r="91" spans="1:17" ht="15" thickBot="1" x14ac:dyDescent="0.35">
      <c r="B91" t="s">
        <v>69</v>
      </c>
      <c r="M91" s="36">
        <f>M82</f>
        <v>20</v>
      </c>
      <c r="N91" s="36">
        <f t="shared" ref="N91:Q91" si="21">N82</f>
        <v>22</v>
      </c>
      <c r="O91" s="36">
        <f t="shared" si="21"/>
        <v>24.199999999999989</v>
      </c>
      <c r="P91" s="36">
        <f t="shared" si="21"/>
        <v>26.620000000000061</v>
      </c>
      <c r="Q91" s="36">
        <f t="shared" si="21"/>
        <v>29.282000000000039</v>
      </c>
    </row>
    <row r="92" spans="1:17" ht="15" thickBot="1" x14ac:dyDescent="0.35">
      <c r="B92" s="26" t="s">
        <v>67</v>
      </c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42">
        <f>M88+M89-M90-M91</f>
        <v>109.79999999999998</v>
      </c>
      <c r="N92" s="42">
        <f t="shared" ref="N92:Q92" si="22">N88+N89-N90-N91</f>
        <v>162.04564999999999</v>
      </c>
      <c r="O92" s="42">
        <f t="shared" si="22"/>
        <v>223.0960160324999</v>
      </c>
      <c r="P92" s="42">
        <f t="shared" si="22"/>
        <v>295.18477203573906</v>
      </c>
      <c r="Q92" s="43">
        <f t="shared" si="22"/>
        <v>378.21832917702136</v>
      </c>
    </row>
    <row r="94" spans="1:17" x14ac:dyDescent="0.3">
      <c r="A94" s="41" t="s">
        <v>66</v>
      </c>
      <c r="B94" s="45" t="s">
        <v>70</v>
      </c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</row>
    <row r="95" spans="1:17" ht="6.6" customHeight="1" x14ac:dyDescent="0.3"/>
    <row r="96" spans="1:17" x14ac:dyDescent="0.3">
      <c r="B96" s="8"/>
      <c r="C96" s="7"/>
      <c r="D96" s="7"/>
      <c r="E96" s="7"/>
      <c r="F96" s="7"/>
      <c r="G96" s="7"/>
      <c r="H96" s="7"/>
      <c r="I96" s="7"/>
      <c r="J96" s="7"/>
      <c r="K96" s="7"/>
      <c r="L96" s="8" t="s">
        <v>57</v>
      </c>
      <c r="M96" s="8" t="s">
        <v>56</v>
      </c>
      <c r="N96" s="8" t="s">
        <v>55</v>
      </c>
      <c r="O96" s="8" t="s">
        <v>54</v>
      </c>
      <c r="P96" s="8" t="s">
        <v>53</v>
      </c>
      <c r="Q96" s="8" t="s">
        <v>52</v>
      </c>
    </row>
    <row r="97" spans="2:17" x14ac:dyDescent="0.3">
      <c r="B97" s="46" t="s">
        <v>25</v>
      </c>
    </row>
    <row r="98" spans="2:17" x14ac:dyDescent="0.3">
      <c r="B98" s="41" t="s">
        <v>71</v>
      </c>
      <c r="M98" s="17">
        <f>L101</f>
        <v>200</v>
      </c>
      <c r="N98" s="17">
        <f t="shared" ref="N98:Q98" si="23">M101</f>
        <v>90.200000000000017</v>
      </c>
      <c r="O98" s="17">
        <f t="shared" si="23"/>
        <v>0</v>
      </c>
      <c r="P98" s="17">
        <f t="shared" si="23"/>
        <v>0</v>
      </c>
      <c r="Q98" s="17">
        <f t="shared" si="23"/>
        <v>0</v>
      </c>
    </row>
    <row r="99" spans="2:17" x14ac:dyDescent="0.3">
      <c r="B99" s="41" t="s">
        <v>72</v>
      </c>
      <c r="M99">
        <f>M98*$Q$14</f>
        <v>15</v>
      </c>
      <c r="N99">
        <f t="shared" ref="N99:Q99" si="24">N98*$Q$14</f>
        <v>6.7650000000000015</v>
      </c>
      <c r="O99">
        <f t="shared" si="24"/>
        <v>0</v>
      </c>
      <c r="P99">
        <f t="shared" si="24"/>
        <v>0</v>
      </c>
      <c r="Q99">
        <f t="shared" si="24"/>
        <v>0</v>
      </c>
    </row>
    <row r="100" spans="2:17" x14ac:dyDescent="0.3">
      <c r="B100" s="47" t="s">
        <v>73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48">
        <f>MIN(M92,M98)</f>
        <v>109.79999999999998</v>
      </c>
      <c r="N100" s="48">
        <f t="shared" ref="N100:Q100" si="25">MIN(N92,N98)</f>
        <v>90.200000000000017</v>
      </c>
      <c r="O100" s="48">
        <f t="shared" si="25"/>
        <v>0</v>
      </c>
      <c r="P100" s="48">
        <f t="shared" si="25"/>
        <v>0</v>
      </c>
      <c r="Q100" s="48">
        <f t="shared" si="25"/>
        <v>0</v>
      </c>
    </row>
    <row r="101" spans="2:17" x14ac:dyDescent="0.3">
      <c r="B101" s="46" t="s">
        <v>74</v>
      </c>
      <c r="C101" s="2"/>
      <c r="D101" s="2"/>
      <c r="E101" s="2"/>
      <c r="F101" s="2"/>
      <c r="G101" s="2"/>
      <c r="H101" s="2"/>
      <c r="I101" s="2"/>
      <c r="J101" s="2"/>
      <c r="K101" s="2"/>
      <c r="L101" s="49">
        <f>P14</f>
        <v>200</v>
      </c>
      <c r="M101" s="50">
        <f>M98-M100</f>
        <v>90.200000000000017</v>
      </c>
      <c r="N101" s="50">
        <f t="shared" ref="N101:Q101" si="26">N98-N100</f>
        <v>0</v>
      </c>
      <c r="O101" s="50">
        <f t="shared" si="26"/>
        <v>0</v>
      </c>
      <c r="P101" s="50">
        <f t="shared" si="26"/>
        <v>0</v>
      </c>
      <c r="Q101" s="50">
        <f t="shared" si="26"/>
        <v>0</v>
      </c>
    </row>
    <row r="103" spans="2:17" ht="14.4" customHeight="1" x14ac:dyDescent="0.3">
      <c r="B103" s="46" t="s">
        <v>75</v>
      </c>
    </row>
    <row r="104" spans="2:17" x14ac:dyDescent="0.3">
      <c r="B104" s="41" t="s">
        <v>71</v>
      </c>
      <c r="M104" s="17">
        <f>L107</f>
        <v>2500</v>
      </c>
      <c r="N104" s="17">
        <f t="shared" ref="N104:Q104" si="27">M107</f>
        <v>2500</v>
      </c>
      <c r="O104" s="17">
        <f t="shared" si="27"/>
        <v>2428.1543499999998</v>
      </c>
      <c r="P104" s="17">
        <f t="shared" si="27"/>
        <v>2205.0583339674999</v>
      </c>
      <c r="Q104" s="17">
        <f t="shared" si="27"/>
        <v>1909.8735619317608</v>
      </c>
    </row>
    <row r="105" spans="2:17" x14ac:dyDescent="0.3">
      <c r="B105" s="41" t="s">
        <v>72</v>
      </c>
      <c r="M105" s="19">
        <f>M104*$Q$15</f>
        <v>237.5</v>
      </c>
      <c r="N105" s="19">
        <f t="shared" ref="N105:Q105" si="28">N104*$Q$15</f>
        <v>237.5</v>
      </c>
      <c r="O105" s="19">
        <f t="shared" si="28"/>
        <v>230.67466324999998</v>
      </c>
      <c r="P105" s="19">
        <f t="shared" si="28"/>
        <v>209.48054172691249</v>
      </c>
      <c r="Q105" s="19">
        <f t="shared" si="28"/>
        <v>181.43798838351728</v>
      </c>
    </row>
    <row r="106" spans="2:17" x14ac:dyDescent="0.3">
      <c r="B106" s="47" t="s">
        <v>73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48">
        <f>MIN(M104,M92-M100)</f>
        <v>0</v>
      </c>
      <c r="N106" s="48">
        <f t="shared" ref="N106:Q106" si="29">MIN(N104,N92-N100)</f>
        <v>71.845649999999978</v>
      </c>
      <c r="O106" s="48">
        <f t="shared" si="29"/>
        <v>223.0960160324999</v>
      </c>
      <c r="P106" s="48">
        <f t="shared" si="29"/>
        <v>295.18477203573906</v>
      </c>
      <c r="Q106" s="48">
        <f t="shared" si="29"/>
        <v>378.21832917702136</v>
      </c>
    </row>
    <row r="107" spans="2:17" x14ac:dyDescent="0.3">
      <c r="B107" s="46" t="s">
        <v>74</v>
      </c>
      <c r="C107" s="2"/>
      <c r="D107" s="2"/>
      <c r="E107" s="2"/>
      <c r="F107" s="2"/>
      <c r="G107" s="2"/>
      <c r="H107" s="2"/>
      <c r="I107" s="2"/>
      <c r="J107" s="2"/>
      <c r="K107" s="2"/>
      <c r="L107" s="49">
        <f>P15</f>
        <v>2500</v>
      </c>
      <c r="M107" s="50">
        <f>M104-M106</f>
        <v>2500</v>
      </c>
      <c r="N107" s="50">
        <f t="shared" ref="N107:Q107" si="30">N104-N106</f>
        <v>2428.1543499999998</v>
      </c>
      <c r="O107" s="50">
        <f t="shared" si="30"/>
        <v>2205.0583339674999</v>
      </c>
      <c r="P107" s="50">
        <f t="shared" si="30"/>
        <v>1909.8735619317608</v>
      </c>
      <c r="Q107" s="50">
        <f t="shared" si="30"/>
        <v>1531.6552327547395</v>
      </c>
    </row>
    <row r="109" spans="2:17" x14ac:dyDescent="0.3">
      <c r="B109" s="46" t="s">
        <v>76</v>
      </c>
    </row>
    <row r="110" spans="2:17" x14ac:dyDescent="0.3">
      <c r="B110" s="41" t="s">
        <v>71</v>
      </c>
      <c r="M110" s="17">
        <f>L113</f>
        <v>1500</v>
      </c>
      <c r="N110" s="17">
        <f t="shared" ref="N110:Q110" si="31">M113</f>
        <v>1500</v>
      </c>
      <c r="O110" s="17">
        <f t="shared" si="31"/>
        <v>1500</v>
      </c>
      <c r="P110" s="17">
        <f t="shared" si="31"/>
        <v>1500</v>
      </c>
      <c r="Q110" s="17">
        <f t="shared" si="31"/>
        <v>1500</v>
      </c>
    </row>
    <row r="111" spans="2:17" x14ac:dyDescent="0.3">
      <c r="B111" s="41" t="s">
        <v>72</v>
      </c>
      <c r="M111" s="19">
        <f>M110*$Q$16</f>
        <v>187.5</v>
      </c>
      <c r="N111" s="19">
        <f t="shared" ref="N111:Q111" si="32">N110*$Q$16</f>
        <v>187.5</v>
      </c>
      <c r="O111" s="19">
        <f t="shared" si="32"/>
        <v>187.5</v>
      </c>
      <c r="P111" s="19">
        <f t="shared" si="32"/>
        <v>187.5</v>
      </c>
      <c r="Q111" s="19">
        <f t="shared" si="32"/>
        <v>187.5</v>
      </c>
    </row>
    <row r="112" spans="2:17" x14ac:dyDescent="0.3">
      <c r="B112" s="47" t="s">
        <v>73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48">
        <f>MIN(M110,M92-M100-M106)</f>
        <v>0</v>
      </c>
      <c r="N112" s="48">
        <f t="shared" ref="N112:Q112" si="33">MIN(N110,N92-N100-N106)</f>
        <v>0</v>
      </c>
      <c r="O112" s="48">
        <f t="shared" si="33"/>
        <v>0</v>
      </c>
      <c r="P112" s="48">
        <f t="shared" si="33"/>
        <v>0</v>
      </c>
      <c r="Q112" s="48">
        <f t="shared" si="33"/>
        <v>0</v>
      </c>
    </row>
    <row r="113" spans="1:17" x14ac:dyDescent="0.3">
      <c r="B113" s="46" t="s">
        <v>74</v>
      </c>
      <c r="C113" s="2"/>
      <c r="D113" s="2"/>
      <c r="E113" s="2"/>
      <c r="F113" s="2"/>
      <c r="G113" s="2"/>
      <c r="H113" s="2"/>
      <c r="I113" s="2"/>
      <c r="J113" s="2"/>
      <c r="K113" s="2"/>
      <c r="L113" s="49">
        <f>P16</f>
        <v>1500</v>
      </c>
      <c r="M113" s="50">
        <f>M110-M112</f>
        <v>1500</v>
      </c>
      <c r="N113" s="50">
        <f t="shared" ref="N113:Q113" si="34">N110-N112</f>
        <v>1500</v>
      </c>
      <c r="O113" s="50">
        <f t="shared" si="34"/>
        <v>1500</v>
      </c>
      <c r="P113" s="50">
        <f t="shared" si="34"/>
        <v>1500</v>
      </c>
      <c r="Q113" s="50">
        <f t="shared" si="34"/>
        <v>1500</v>
      </c>
    </row>
    <row r="114" spans="1:17" x14ac:dyDescent="0.3">
      <c r="B114" s="46"/>
      <c r="C114" s="2"/>
      <c r="D114" s="2"/>
      <c r="E114" s="2"/>
      <c r="F114" s="2"/>
      <c r="G114" s="2"/>
      <c r="H114" s="2"/>
      <c r="I114" s="2"/>
      <c r="J114" s="2"/>
      <c r="K114" s="2"/>
      <c r="L114" s="49"/>
      <c r="M114" s="50"/>
      <c r="N114" s="50"/>
      <c r="O114" s="50"/>
      <c r="P114" s="50"/>
      <c r="Q114" s="50"/>
    </row>
    <row r="115" spans="1:17" x14ac:dyDescent="0.3">
      <c r="B115" s="46" t="s">
        <v>77</v>
      </c>
    </row>
    <row r="116" spans="1:17" x14ac:dyDescent="0.3">
      <c r="B116" s="41" t="s">
        <v>71</v>
      </c>
      <c r="M116" s="16">
        <f>M98+M104+M110</f>
        <v>4200</v>
      </c>
      <c r="N116" s="16">
        <f t="shared" ref="N116:Q116" si="35">N98+N104+N110</f>
        <v>4090.2</v>
      </c>
      <c r="O116" s="16">
        <f t="shared" si="35"/>
        <v>3928.1543499999998</v>
      </c>
      <c r="P116" s="16">
        <f t="shared" si="35"/>
        <v>3705.0583339674999</v>
      </c>
      <c r="Q116" s="16">
        <f t="shared" si="35"/>
        <v>3409.8735619317608</v>
      </c>
    </row>
    <row r="117" spans="1:17" x14ac:dyDescent="0.3">
      <c r="B117" s="41" t="s">
        <v>72</v>
      </c>
      <c r="M117" s="16">
        <f t="shared" ref="M117:Q119" si="36">M99+M105+M111</f>
        <v>440</v>
      </c>
      <c r="N117" s="16">
        <f t="shared" si="36"/>
        <v>431.76499999999999</v>
      </c>
      <c r="O117" s="16">
        <f t="shared" si="36"/>
        <v>418.17466324999998</v>
      </c>
      <c r="P117" s="16">
        <f t="shared" si="36"/>
        <v>396.98054172691252</v>
      </c>
      <c r="Q117" s="16">
        <f t="shared" si="36"/>
        <v>368.93798838351728</v>
      </c>
    </row>
    <row r="118" spans="1:17" ht="15" thickBot="1" x14ac:dyDescent="0.35">
      <c r="B118" s="51" t="s">
        <v>73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52">
        <f t="shared" si="36"/>
        <v>109.79999999999998</v>
      </c>
      <c r="N118" s="52">
        <f t="shared" si="36"/>
        <v>162.04564999999999</v>
      </c>
      <c r="O118" s="52">
        <f t="shared" si="36"/>
        <v>223.0960160324999</v>
      </c>
      <c r="P118" s="52">
        <f t="shared" si="36"/>
        <v>295.18477203573906</v>
      </c>
      <c r="Q118" s="52">
        <f t="shared" si="36"/>
        <v>378.21832917702136</v>
      </c>
    </row>
    <row r="119" spans="1:17" ht="15" thickBot="1" x14ac:dyDescent="0.35">
      <c r="B119" s="53" t="s">
        <v>74</v>
      </c>
      <c r="C119" s="54"/>
      <c r="D119" s="54"/>
      <c r="E119" s="54"/>
      <c r="F119" s="54"/>
      <c r="G119" s="54"/>
      <c r="H119" s="54"/>
      <c r="I119" s="54"/>
      <c r="J119" s="54"/>
      <c r="K119" s="54"/>
      <c r="L119" s="55">
        <f>L113+L107+L101</f>
        <v>4200</v>
      </c>
      <c r="M119" s="55">
        <f t="shared" si="36"/>
        <v>4090.2</v>
      </c>
      <c r="N119" s="55">
        <f t="shared" si="36"/>
        <v>3928.1543499999998</v>
      </c>
      <c r="O119" s="55">
        <f t="shared" si="36"/>
        <v>3705.0583339674999</v>
      </c>
      <c r="P119" s="55">
        <f t="shared" si="36"/>
        <v>3409.8735619317608</v>
      </c>
      <c r="Q119" s="56">
        <f t="shared" si="36"/>
        <v>3031.6552327547397</v>
      </c>
    </row>
    <row r="122" spans="1:17" x14ac:dyDescent="0.3">
      <c r="A122" s="41" t="s">
        <v>66</v>
      </c>
      <c r="B122" s="45" t="s">
        <v>78</v>
      </c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</row>
    <row r="123" spans="1:17" ht="8.4" customHeight="1" x14ac:dyDescent="0.3"/>
    <row r="124" spans="1:17" x14ac:dyDescent="0.3">
      <c r="B124" t="s">
        <v>79</v>
      </c>
      <c r="Q124" s="36">
        <f>Q61</f>
        <v>1127.357</v>
      </c>
    </row>
    <row r="125" spans="1:17" x14ac:dyDescent="0.3">
      <c r="B125" s="1" t="s">
        <v>23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57">
        <f>K23</f>
        <v>10</v>
      </c>
    </row>
    <row r="126" spans="1:17" x14ac:dyDescent="0.3">
      <c r="B126" t="s">
        <v>18</v>
      </c>
      <c r="Q126">
        <f>Q124*Q125</f>
        <v>11273.57</v>
      </c>
    </row>
    <row r="127" spans="1:17" x14ac:dyDescent="0.3">
      <c r="B127" t="s">
        <v>80</v>
      </c>
      <c r="Q127" s="16">
        <f>Q119</f>
        <v>3031.6552327547397</v>
      </c>
    </row>
    <row r="128" spans="1:17" x14ac:dyDescent="0.3">
      <c r="B128" t="s">
        <v>81</v>
      </c>
      <c r="Q128" s="16">
        <f>Q126-Q127</f>
        <v>8241.91476724526</v>
      </c>
    </row>
    <row r="130" spans="2:17" ht="14.4" customHeight="1" x14ac:dyDescent="0.3">
      <c r="B130" t="s">
        <v>82</v>
      </c>
      <c r="Q130" s="16">
        <f>E35</f>
        <v>2900</v>
      </c>
    </row>
    <row r="131" spans="2:17" ht="15" thickBot="1" x14ac:dyDescent="0.35"/>
    <row r="132" spans="2:17" x14ac:dyDescent="0.3">
      <c r="B132" s="60" t="s">
        <v>83</v>
      </c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2">
        <f>Q128/Q130</f>
        <v>2.8420395749121585</v>
      </c>
    </row>
    <row r="133" spans="2:17" ht="15" thickBot="1" x14ac:dyDescent="0.35">
      <c r="B133" s="63" t="s">
        <v>78</v>
      </c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5">
        <f>Q132^(1/5)-1</f>
        <v>0.23232717123052216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arjun chandwadkar</cp:lastModifiedBy>
  <dcterms:created xsi:type="dcterms:W3CDTF">2024-06-13T22:17:00Z</dcterms:created>
  <dcterms:modified xsi:type="dcterms:W3CDTF">2026-06-09T16:27:56Z</dcterms:modified>
</cp:coreProperties>
</file>